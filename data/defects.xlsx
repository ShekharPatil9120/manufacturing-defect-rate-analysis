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3"/>
  </bookViews>
  <sheets>
    <sheet name="Raw_Data" sheetId="1" r:id="rId1"/>
    <sheet name="Summary" sheetId="2" r:id="rId2"/>
    <sheet name="SHIFT-WISE SUMMAR" sheetId="3" r:id="rId3"/>
    <sheet name="Control_Chart" sheetId="4" r:id="rId4"/>
  </sheets>
  <calcPr calcId="144525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B2" i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B3" i="4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B2" i="2" s="1"/>
  <c r="D3" i="3"/>
  <c r="D2" i="3"/>
  <c r="B3" i="3"/>
  <c r="B2" i="3"/>
  <c r="C3" i="3" l="1"/>
  <c r="B3" i="2"/>
  <c r="B1" i="2"/>
  <c r="C2" i="3"/>
  <c r="G3" i="4"/>
  <c r="G31" i="4"/>
  <c r="G25" i="4"/>
  <c r="G24" i="4"/>
  <c r="G22" i="4"/>
  <c r="G23" i="4"/>
  <c r="G21" i="4"/>
  <c r="G4" i="4"/>
  <c r="G5" i="4"/>
  <c r="G8" i="4"/>
  <c r="G2" i="4"/>
  <c r="G15" i="4"/>
  <c r="G14" i="4"/>
  <c r="G12" i="4"/>
  <c r="G13" i="4"/>
  <c r="G11" i="4"/>
  <c r="G27" i="4"/>
  <c r="G9" i="4"/>
  <c r="G7" i="4"/>
  <c r="G6" i="4"/>
  <c r="G18" i="4"/>
  <c r="G20" i="4"/>
  <c r="G26" i="4"/>
  <c r="G16" i="4"/>
  <c r="G17" i="4"/>
  <c r="G30" i="4"/>
  <c r="G29" i="4"/>
  <c r="G28" i="4"/>
  <c r="G10" i="4"/>
  <c r="G19" i="4"/>
  <c r="I15" i="4"/>
  <c r="I16" i="4"/>
  <c r="I12" i="4"/>
  <c r="I22" i="4"/>
  <c r="B5" i="4"/>
  <c r="I11" i="4" s="1"/>
  <c r="I18" i="4"/>
  <c r="H27" i="4"/>
  <c r="H13" i="4"/>
  <c r="H14" i="4"/>
  <c r="H7" i="4"/>
  <c r="B4" i="4"/>
  <c r="H31" i="4" s="1"/>
  <c r="H3" i="4"/>
  <c r="H22" i="4" l="1"/>
  <c r="H23" i="4"/>
  <c r="I9" i="4"/>
  <c r="I5" i="4"/>
  <c r="H29" i="4"/>
  <c r="H20" i="4"/>
  <c r="I4" i="4"/>
  <c r="H11" i="4"/>
  <c r="H8" i="4"/>
  <c r="H10" i="4"/>
  <c r="I29" i="4"/>
  <c r="I31" i="4"/>
  <c r="I7" i="4"/>
  <c r="I28" i="4"/>
  <c r="I19" i="4"/>
  <c r="I30" i="4"/>
  <c r="I13" i="4"/>
  <c r="H16" i="4"/>
  <c r="H19" i="4"/>
  <c r="H18" i="4"/>
  <c r="H28" i="4"/>
  <c r="I20" i="4"/>
  <c r="I23" i="4"/>
  <c r="H9" i="4"/>
  <c r="H4" i="4"/>
  <c r="H6" i="4"/>
  <c r="H17" i="4"/>
  <c r="H12" i="4"/>
  <c r="H5" i="4"/>
  <c r="I3" i="4"/>
  <c r="I10" i="4"/>
  <c r="I21" i="4"/>
  <c r="I25" i="4"/>
  <c r="I17" i="4"/>
  <c r="I27" i="4"/>
  <c r="H30" i="4"/>
  <c r="H24" i="4"/>
  <c r="H21" i="4"/>
  <c r="H26" i="4"/>
  <c r="H15" i="4"/>
  <c r="H2" i="4"/>
  <c r="H25" i="4"/>
  <c r="I8" i="4"/>
  <c r="I24" i="4"/>
  <c r="I14" i="4"/>
  <c r="I26" i="4"/>
  <c r="I6" i="4"/>
  <c r="I2" i="4"/>
</calcChain>
</file>

<file path=xl/sharedStrings.xml><?xml version="1.0" encoding="utf-8"?>
<sst xmlns="http://schemas.openxmlformats.org/spreadsheetml/2006/main" count="55" uniqueCount="19">
  <si>
    <t>Date</t>
  </si>
  <si>
    <t>Shift</t>
  </si>
  <si>
    <t>Units_Produced</t>
  </si>
  <si>
    <t>Defect_Count</t>
  </si>
  <si>
    <t>Defect_Rate</t>
  </si>
  <si>
    <t>Day</t>
  </si>
  <si>
    <t>Night</t>
  </si>
  <si>
    <t>Average_Defect_Rate</t>
  </si>
  <si>
    <t>Std_Deviation_Defect_Rate</t>
  </si>
  <si>
    <t>Total_Observations</t>
  </si>
  <si>
    <t>Avg_Defect_Rate</t>
  </si>
  <si>
    <t>Std_Deviation</t>
  </si>
  <si>
    <t>Observations</t>
  </si>
  <si>
    <t>Mean (CL)</t>
  </si>
  <si>
    <t>Std Dev</t>
  </si>
  <si>
    <t>UCL</t>
  </si>
  <si>
    <t>LCL</t>
  </si>
  <si>
    <t>Mean</t>
  </si>
  <si>
    <t>Date_Shift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</si>
</sst>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1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Control_Chart!$F$1</c:f>
              <c:strCache>
                <c:ptCount val="1"/>
                <c:pt idx="0">
                  <c:v>Defect_Count</c:v>
                </c:pt>
              </c:strCache>
            </c:strRef>
          </c:tx>
          <c:marker>
            <c:symbol val="none"/>
          </c:marker>
          <c:cat>
            <c:strLit>
              <c:ptCount val="1"/>
              <c:pt idx="0">
                <c:v>Date_Shift</c:v>
              </c:pt>
            </c:strLit>
          </c:cat>
          <c:val>
            <c:numRef>
              <c:f>Control_Chart!$F$2:$F$31</c:f>
              <c:numCache>
                <c:formatCode>General</c:formatCode>
                <c:ptCount val="30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18</c:v>
                </c:pt>
                <c:pt idx="4">
                  <c:v>11</c:v>
                </c:pt>
                <c:pt idx="5">
                  <c:v>14</c:v>
                </c:pt>
                <c:pt idx="6">
                  <c:v>9</c:v>
                </c:pt>
                <c:pt idx="7">
                  <c:v>22</c:v>
                </c:pt>
                <c:pt idx="8">
                  <c:v>13</c:v>
                </c:pt>
                <c:pt idx="9">
                  <c:v>17</c:v>
                </c:pt>
                <c:pt idx="10">
                  <c:v>12</c:v>
                </c:pt>
                <c:pt idx="11">
                  <c:v>16</c:v>
                </c:pt>
                <c:pt idx="12">
                  <c:v>14</c:v>
                </c:pt>
                <c:pt idx="13">
                  <c:v>19</c:v>
                </c:pt>
                <c:pt idx="14">
                  <c:v>10</c:v>
                </c:pt>
                <c:pt idx="15">
                  <c:v>21</c:v>
                </c:pt>
                <c:pt idx="16">
                  <c:v>11</c:v>
                </c:pt>
                <c:pt idx="17">
                  <c:v>15</c:v>
                </c:pt>
                <c:pt idx="18">
                  <c:v>13</c:v>
                </c:pt>
                <c:pt idx="19">
                  <c:v>18</c:v>
                </c:pt>
                <c:pt idx="20">
                  <c:v>12</c:v>
                </c:pt>
                <c:pt idx="21">
                  <c:v>16</c:v>
                </c:pt>
                <c:pt idx="22">
                  <c:v>10</c:v>
                </c:pt>
                <c:pt idx="23">
                  <c:v>20</c:v>
                </c:pt>
                <c:pt idx="24">
                  <c:v>14</c:v>
                </c:pt>
                <c:pt idx="25">
                  <c:v>15</c:v>
                </c:pt>
                <c:pt idx="26">
                  <c:v>11</c:v>
                </c:pt>
                <c:pt idx="27">
                  <c:v>19</c:v>
                </c:pt>
                <c:pt idx="28">
                  <c:v>12</c:v>
                </c:pt>
                <c:pt idx="29">
                  <c:v>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Control_Chart!$G$1</c:f>
              <c:strCache>
                <c:ptCount val="1"/>
                <c:pt idx="0">
                  <c:v>Mean</c:v>
                </c:pt>
              </c:strCache>
            </c:strRef>
          </c:tx>
          <c:marker>
            <c:symbol val="none"/>
          </c:marker>
          <c:cat>
            <c:strLit>
              <c:ptCount val="1"/>
              <c:pt idx="0">
                <c:v>Date_Shift</c:v>
              </c:pt>
            </c:strLit>
          </c:cat>
          <c:val>
            <c:numRef>
              <c:f>Control_Chart!$G$2:$G$31</c:f>
              <c:numCache>
                <c:formatCode>General</c:formatCode>
                <c:ptCount val="30"/>
                <c:pt idx="0">
                  <c:v>14.533333333333333</c:v>
                </c:pt>
                <c:pt idx="1">
                  <c:v>14.533333333333333</c:v>
                </c:pt>
                <c:pt idx="2">
                  <c:v>14.533333333333333</c:v>
                </c:pt>
                <c:pt idx="3">
                  <c:v>14.533333333333333</c:v>
                </c:pt>
                <c:pt idx="4">
                  <c:v>14.533333333333333</c:v>
                </c:pt>
                <c:pt idx="5">
                  <c:v>14.533333333333333</c:v>
                </c:pt>
                <c:pt idx="6">
                  <c:v>14.533333333333333</c:v>
                </c:pt>
                <c:pt idx="7">
                  <c:v>14.533333333333333</c:v>
                </c:pt>
                <c:pt idx="8">
                  <c:v>14.533333333333333</c:v>
                </c:pt>
                <c:pt idx="9">
                  <c:v>14.533333333333333</c:v>
                </c:pt>
                <c:pt idx="10">
                  <c:v>14.533333333333333</c:v>
                </c:pt>
                <c:pt idx="11">
                  <c:v>14.533333333333333</c:v>
                </c:pt>
                <c:pt idx="12">
                  <c:v>14.533333333333333</c:v>
                </c:pt>
                <c:pt idx="13">
                  <c:v>14.533333333333333</c:v>
                </c:pt>
                <c:pt idx="14">
                  <c:v>14.533333333333333</c:v>
                </c:pt>
                <c:pt idx="15">
                  <c:v>14.533333333333333</c:v>
                </c:pt>
                <c:pt idx="16">
                  <c:v>14.533333333333333</c:v>
                </c:pt>
                <c:pt idx="17">
                  <c:v>14.533333333333333</c:v>
                </c:pt>
                <c:pt idx="18">
                  <c:v>14.533333333333333</c:v>
                </c:pt>
                <c:pt idx="19">
                  <c:v>14.533333333333333</c:v>
                </c:pt>
                <c:pt idx="20">
                  <c:v>14.533333333333333</c:v>
                </c:pt>
                <c:pt idx="21">
                  <c:v>14.533333333333333</c:v>
                </c:pt>
                <c:pt idx="22">
                  <c:v>14.533333333333333</c:v>
                </c:pt>
                <c:pt idx="23">
                  <c:v>14.533333333333333</c:v>
                </c:pt>
                <c:pt idx="24">
                  <c:v>14.533333333333333</c:v>
                </c:pt>
                <c:pt idx="25">
                  <c:v>14.533333333333333</c:v>
                </c:pt>
                <c:pt idx="26">
                  <c:v>14.533333333333333</c:v>
                </c:pt>
                <c:pt idx="27">
                  <c:v>14.533333333333333</c:v>
                </c:pt>
                <c:pt idx="28">
                  <c:v>14.533333333333333</c:v>
                </c:pt>
                <c:pt idx="29">
                  <c:v>14.533333333333333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Control_Chart!$H$1</c:f>
              <c:strCache>
                <c:ptCount val="1"/>
                <c:pt idx="0">
                  <c:v>UCL</c:v>
                </c:pt>
              </c:strCache>
            </c:strRef>
          </c:tx>
          <c:marker>
            <c:symbol val="none"/>
          </c:marker>
          <c:cat>
            <c:strLit>
              <c:ptCount val="1"/>
              <c:pt idx="0">
                <c:v>Date_Shift</c:v>
              </c:pt>
            </c:strLit>
          </c:cat>
          <c:val>
            <c:numRef>
              <c:f>Control_Chart!$H$2:$H$31</c:f>
              <c:numCache>
                <c:formatCode>General</c:formatCode>
                <c:ptCount val="30"/>
                <c:pt idx="0">
                  <c:v>25.241370920375935</c:v>
                </c:pt>
                <c:pt idx="1">
                  <c:v>25.241370920375935</c:v>
                </c:pt>
                <c:pt idx="2">
                  <c:v>25.241370920375935</c:v>
                </c:pt>
                <c:pt idx="3">
                  <c:v>25.241370920375935</c:v>
                </c:pt>
                <c:pt idx="4">
                  <c:v>25.241370920375935</c:v>
                </c:pt>
                <c:pt idx="5">
                  <c:v>25.241370920375935</c:v>
                </c:pt>
                <c:pt idx="6">
                  <c:v>25.241370920375935</c:v>
                </c:pt>
                <c:pt idx="7">
                  <c:v>25.241370920375935</c:v>
                </c:pt>
                <c:pt idx="8">
                  <c:v>25.241370920375935</c:v>
                </c:pt>
                <c:pt idx="9">
                  <c:v>25.241370920375935</c:v>
                </c:pt>
                <c:pt idx="10">
                  <c:v>25.241370920375935</c:v>
                </c:pt>
                <c:pt idx="11">
                  <c:v>25.241370920375935</c:v>
                </c:pt>
                <c:pt idx="12">
                  <c:v>25.241370920375935</c:v>
                </c:pt>
                <c:pt idx="13">
                  <c:v>25.241370920375935</c:v>
                </c:pt>
                <c:pt idx="14">
                  <c:v>25.241370920375935</c:v>
                </c:pt>
                <c:pt idx="15">
                  <c:v>25.241370920375935</c:v>
                </c:pt>
                <c:pt idx="16">
                  <c:v>25.241370920375935</c:v>
                </c:pt>
                <c:pt idx="17">
                  <c:v>25.241370920375935</c:v>
                </c:pt>
                <c:pt idx="18">
                  <c:v>25.241370920375935</c:v>
                </c:pt>
                <c:pt idx="19">
                  <c:v>25.241370920375935</c:v>
                </c:pt>
                <c:pt idx="20">
                  <c:v>25.241370920375935</c:v>
                </c:pt>
                <c:pt idx="21">
                  <c:v>25.241370920375935</c:v>
                </c:pt>
                <c:pt idx="22">
                  <c:v>25.241370920375935</c:v>
                </c:pt>
                <c:pt idx="23">
                  <c:v>25.241370920375935</c:v>
                </c:pt>
                <c:pt idx="24">
                  <c:v>25.241370920375935</c:v>
                </c:pt>
                <c:pt idx="25">
                  <c:v>25.241370920375935</c:v>
                </c:pt>
                <c:pt idx="26">
                  <c:v>25.241370920375935</c:v>
                </c:pt>
                <c:pt idx="27">
                  <c:v>25.241370920375935</c:v>
                </c:pt>
                <c:pt idx="28">
                  <c:v>25.241370920375935</c:v>
                </c:pt>
                <c:pt idx="29">
                  <c:v>25.241370920375935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Control_Chart!$I$1</c:f>
              <c:strCache>
                <c:ptCount val="1"/>
                <c:pt idx="0">
                  <c:v>LCL</c:v>
                </c:pt>
              </c:strCache>
            </c:strRef>
          </c:tx>
          <c:marker>
            <c:symbol val="none"/>
          </c:marker>
          <c:cat>
            <c:strLit>
              <c:ptCount val="1"/>
              <c:pt idx="0">
                <c:v>Date_Shift</c:v>
              </c:pt>
            </c:strLit>
          </c:cat>
          <c:val>
            <c:numRef>
              <c:f>Control_Chart!$I$2:$I$31</c:f>
              <c:numCache>
                <c:formatCode>General</c:formatCode>
                <c:ptCount val="30"/>
                <c:pt idx="0">
                  <c:v>3.8252957462907329</c:v>
                </c:pt>
                <c:pt idx="1">
                  <c:v>3.8252957462907329</c:v>
                </c:pt>
                <c:pt idx="2">
                  <c:v>3.8252957462907329</c:v>
                </c:pt>
                <c:pt idx="3">
                  <c:v>3.8252957462907329</c:v>
                </c:pt>
                <c:pt idx="4">
                  <c:v>3.8252957462907329</c:v>
                </c:pt>
                <c:pt idx="5">
                  <c:v>3.8252957462907329</c:v>
                </c:pt>
                <c:pt idx="6">
                  <c:v>3.8252957462907329</c:v>
                </c:pt>
                <c:pt idx="7">
                  <c:v>3.8252957462907329</c:v>
                </c:pt>
                <c:pt idx="8">
                  <c:v>3.8252957462907329</c:v>
                </c:pt>
                <c:pt idx="9">
                  <c:v>3.8252957462907329</c:v>
                </c:pt>
                <c:pt idx="10">
                  <c:v>3.8252957462907329</c:v>
                </c:pt>
                <c:pt idx="11">
                  <c:v>3.8252957462907329</c:v>
                </c:pt>
                <c:pt idx="12">
                  <c:v>3.8252957462907329</c:v>
                </c:pt>
                <c:pt idx="13">
                  <c:v>3.8252957462907329</c:v>
                </c:pt>
                <c:pt idx="14">
                  <c:v>3.8252957462907329</c:v>
                </c:pt>
                <c:pt idx="15">
                  <c:v>3.8252957462907329</c:v>
                </c:pt>
                <c:pt idx="16">
                  <c:v>3.8252957462907329</c:v>
                </c:pt>
                <c:pt idx="17">
                  <c:v>3.8252957462907329</c:v>
                </c:pt>
                <c:pt idx="18">
                  <c:v>3.8252957462907329</c:v>
                </c:pt>
                <c:pt idx="19">
                  <c:v>3.8252957462907329</c:v>
                </c:pt>
                <c:pt idx="20">
                  <c:v>3.8252957462907329</c:v>
                </c:pt>
                <c:pt idx="21">
                  <c:v>3.8252957462907329</c:v>
                </c:pt>
                <c:pt idx="22">
                  <c:v>3.8252957462907329</c:v>
                </c:pt>
                <c:pt idx="23">
                  <c:v>3.8252957462907329</c:v>
                </c:pt>
                <c:pt idx="24">
                  <c:v>3.8252957462907329</c:v>
                </c:pt>
                <c:pt idx="25">
                  <c:v>3.8252957462907329</c:v>
                </c:pt>
                <c:pt idx="26">
                  <c:v>3.8252957462907329</c:v>
                </c:pt>
                <c:pt idx="27">
                  <c:v>3.8252957462907329</c:v>
                </c:pt>
                <c:pt idx="28">
                  <c:v>3.8252957462907329</c:v>
                </c:pt>
                <c:pt idx="29">
                  <c:v>3.8252957462907329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69856"/>
        <c:axId val="195771392"/>
      </c:lineChart>
      <c:catAx>
        <c:axId val="195769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95771392"/>
        <c:crosses val="autoZero"/>
        <c:auto val="0"/>
        <c:lblAlgn val="ctr"/>
        <c:lblOffset val="100"/>
        <c:tickLblSkip val="2"/>
        <c:noMultiLvlLbl val="0"/>
      </c:catAx>
      <c:valAx>
        <c:axId val="195771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769856"/>
        <c:crossesAt val="1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261256</xdr:colOff>
      <xdr:row>11</xdr:row>
      <xdr:rowOff>136071</xdr:rowOff>
    </xdr:from>
    <xdr:to>
      <xdr:col>21</xdr:col>
      <xdr:colOff>566056</xdr:colOff>
      <xdr:row>26</xdr:row>
      <xdr:rowOff>103414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="70" zoomScaleNormal="70" workbookViewId="0">
      <selection activeCell="A2" sqref="A2"/>
    </sheetView>
  </sheetViews>
  <sheetFormatPr defaultRowHeight="14.4" x14ac:dyDescent="0.3"/>
  <cols>
    <col min="1" max="1" width="11.21875" customWidth="1"/>
    <col min="2" max="2" width="19.6640625" style="4" customWidth="1"/>
    <col min="5" max="5" width="23.109375" customWidth="1"/>
    <col min="6" max="6" width="17.21875" customWidth="1"/>
  </cols>
  <sheetData>
    <row r="1" spans="1:6" x14ac:dyDescent="0.3">
      <c r="A1" s="2" t="s">
        <v>0</v>
      </c>
      <c r="B1" s="4" t="s">
        <v>18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>
        <v>46023</v>
      </c>
      <c r="B2" s="3" t="str">
        <f>TEXT(A2,"dd-mm-yyyy") &amp; " - " &amp; C2</f>
        <v>01-01-2026 - Day</v>
      </c>
      <c r="C2" s="2" t="s">
        <v>5</v>
      </c>
      <c r="D2" s="2">
        <v>1010</v>
      </c>
      <c r="E2" s="2">
        <v>12</v>
      </c>
      <c r="F2" s="5">
        <f>E2/D2</f>
        <v>1.1881188118811881E-2</v>
      </c>
    </row>
    <row r="3" spans="1:6" x14ac:dyDescent="0.3">
      <c r="A3" s="3">
        <v>46023</v>
      </c>
      <c r="B3" s="3" t="str">
        <f t="shared" ref="B3:B31" si="0">TEXT(A3,"dd-mm-yyyy") &amp; " - " &amp; C3</f>
        <v>01-01-2026 - Night</v>
      </c>
      <c r="C3" s="2" t="s">
        <v>6</v>
      </c>
      <c r="D3" s="2">
        <v>995</v>
      </c>
      <c r="E3" s="2">
        <v>15</v>
      </c>
      <c r="F3" s="5">
        <f t="shared" ref="F3:F31" si="1">E3/D3</f>
        <v>1.507537688442211E-2</v>
      </c>
    </row>
    <row r="4" spans="1:6" x14ac:dyDescent="0.3">
      <c r="A4" s="3">
        <v>46024</v>
      </c>
      <c r="B4" s="3" t="str">
        <f t="shared" si="0"/>
        <v>02-01-2026 - Day</v>
      </c>
      <c r="C4" s="2" t="s">
        <v>5</v>
      </c>
      <c r="D4" s="2">
        <v>990</v>
      </c>
      <c r="E4" s="2">
        <v>10</v>
      </c>
      <c r="F4" s="5">
        <f t="shared" si="1"/>
        <v>1.0101010101010102E-2</v>
      </c>
    </row>
    <row r="5" spans="1:6" x14ac:dyDescent="0.3">
      <c r="A5" s="3">
        <v>46024</v>
      </c>
      <c r="B5" s="3" t="str">
        <f t="shared" si="0"/>
        <v>02-01-2026 - Night</v>
      </c>
      <c r="C5" s="2" t="s">
        <v>6</v>
      </c>
      <c r="D5" s="2">
        <v>1005</v>
      </c>
      <c r="E5" s="2">
        <v>18</v>
      </c>
      <c r="F5" s="5">
        <f t="shared" si="1"/>
        <v>1.7910447761194031E-2</v>
      </c>
    </row>
    <row r="6" spans="1:6" x14ac:dyDescent="0.3">
      <c r="A6" s="3">
        <v>46025</v>
      </c>
      <c r="B6" s="3" t="str">
        <f t="shared" si="0"/>
        <v>03-01-2026 - Day</v>
      </c>
      <c r="C6" s="2" t="s">
        <v>5</v>
      </c>
      <c r="D6" s="2">
        <v>1005</v>
      </c>
      <c r="E6" s="2">
        <v>11</v>
      </c>
      <c r="F6" s="5">
        <f t="shared" si="1"/>
        <v>1.0945273631840797E-2</v>
      </c>
    </row>
    <row r="7" spans="1:6" x14ac:dyDescent="0.3">
      <c r="A7" s="3">
        <v>46025</v>
      </c>
      <c r="B7" s="3" t="str">
        <f t="shared" si="0"/>
        <v>03-01-2026 - Night</v>
      </c>
      <c r="C7" s="2" t="s">
        <v>6</v>
      </c>
      <c r="D7" s="2">
        <v>990</v>
      </c>
      <c r="E7" s="2">
        <v>14</v>
      </c>
      <c r="F7" s="5">
        <f t="shared" si="1"/>
        <v>1.4141414141414142E-2</v>
      </c>
    </row>
    <row r="8" spans="1:6" x14ac:dyDescent="0.3">
      <c r="A8" s="3">
        <v>46026</v>
      </c>
      <c r="B8" s="3" t="str">
        <f t="shared" si="0"/>
        <v>04-01-2026 - Day</v>
      </c>
      <c r="C8" s="2" t="s">
        <v>5</v>
      </c>
      <c r="D8" s="2">
        <v>980</v>
      </c>
      <c r="E8" s="2">
        <v>9</v>
      </c>
      <c r="F8" s="5">
        <f t="shared" si="1"/>
        <v>9.1836734693877559E-3</v>
      </c>
    </row>
    <row r="9" spans="1:6" x14ac:dyDescent="0.3">
      <c r="A9" s="3">
        <v>46026</v>
      </c>
      <c r="B9" s="3" t="str">
        <f t="shared" si="0"/>
        <v>04-01-2026 - Night</v>
      </c>
      <c r="C9" s="2" t="s">
        <v>6</v>
      </c>
      <c r="D9" s="2">
        <v>1010</v>
      </c>
      <c r="E9" s="2">
        <v>22</v>
      </c>
      <c r="F9" s="5">
        <f t="shared" si="1"/>
        <v>2.1782178217821781E-2</v>
      </c>
    </row>
    <row r="10" spans="1:6" x14ac:dyDescent="0.3">
      <c r="A10" s="3">
        <v>46027</v>
      </c>
      <c r="B10" s="3" t="str">
        <f t="shared" si="0"/>
        <v>05-01-2026 - Day</v>
      </c>
      <c r="C10" s="2" t="s">
        <v>5</v>
      </c>
      <c r="D10" s="2">
        <v>1020</v>
      </c>
      <c r="E10" s="2">
        <v>13</v>
      </c>
      <c r="F10" s="5">
        <f t="shared" si="1"/>
        <v>1.2745098039215686E-2</v>
      </c>
    </row>
    <row r="11" spans="1:6" x14ac:dyDescent="0.3">
      <c r="A11" s="3">
        <v>46027</v>
      </c>
      <c r="B11" s="3" t="str">
        <f t="shared" si="0"/>
        <v>05-01-2026 - Night</v>
      </c>
      <c r="C11" s="2" t="s">
        <v>6</v>
      </c>
      <c r="D11" s="2">
        <v>1000</v>
      </c>
      <c r="E11" s="2">
        <v>17</v>
      </c>
      <c r="F11" s="5">
        <f t="shared" si="1"/>
        <v>1.7000000000000001E-2</v>
      </c>
    </row>
    <row r="12" spans="1:6" x14ac:dyDescent="0.3">
      <c r="A12" s="3">
        <v>46028</v>
      </c>
      <c r="B12" s="3" t="str">
        <f t="shared" si="0"/>
        <v>06-01-2026 - Day</v>
      </c>
      <c r="C12" s="2" t="s">
        <v>5</v>
      </c>
      <c r="D12" s="2">
        <v>1000</v>
      </c>
      <c r="E12" s="2">
        <v>12</v>
      </c>
      <c r="F12" s="5">
        <f t="shared" si="1"/>
        <v>1.2E-2</v>
      </c>
    </row>
    <row r="13" spans="1:6" x14ac:dyDescent="0.3">
      <c r="A13" s="3">
        <v>46028</v>
      </c>
      <c r="B13" s="3" t="str">
        <f t="shared" si="0"/>
        <v>06-01-2026 - Night</v>
      </c>
      <c r="C13" s="2" t="s">
        <v>6</v>
      </c>
      <c r="D13" s="2">
        <v>985</v>
      </c>
      <c r="E13" s="2">
        <v>16</v>
      </c>
      <c r="F13" s="5">
        <f t="shared" si="1"/>
        <v>1.6243654822335026E-2</v>
      </c>
    </row>
    <row r="14" spans="1:6" x14ac:dyDescent="0.3">
      <c r="A14" s="3">
        <v>46029</v>
      </c>
      <c r="B14" s="3" t="str">
        <f t="shared" si="0"/>
        <v>07-01-2026 - Day</v>
      </c>
      <c r="C14" s="2" t="s">
        <v>5</v>
      </c>
      <c r="D14" s="2">
        <v>1015</v>
      </c>
      <c r="E14" s="2">
        <v>14</v>
      </c>
      <c r="F14" s="5">
        <f t="shared" si="1"/>
        <v>1.3793103448275862E-2</v>
      </c>
    </row>
    <row r="15" spans="1:6" x14ac:dyDescent="0.3">
      <c r="A15" s="3">
        <v>46029</v>
      </c>
      <c r="B15" s="3" t="str">
        <f t="shared" si="0"/>
        <v>07-01-2026 - Night</v>
      </c>
      <c r="C15" s="2" t="s">
        <v>6</v>
      </c>
      <c r="D15" s="2">
        <v>1005</v>
      </c>
      <c r="E15" s="2">
        <v>19</v>
      </c>
      <c r="F15" s="5">
        <f t="shared" si="1"/>
        <v>1.8905472636815919E-2</v>
      </c>
    </row>
    <row r="16" spans="1:6" x14ac:dyDescent="0.3">
      <c r="A16" s="3">
        <v>46030</v>
      </c>
      <c r="B16" s="3" t="str">
        <f t="shared" si="0"/>
        <v>08-01-2026 - Day</v>
      </c>
      <c r="C16" s="2" t="s">
        <v>5</v>
      </c>
      <c r="D16" s="2">
        <v>995</v>
      </c>
      <c r="E16" s="2">
        <v>10</v>
      </c>
      <c r="F16" s="5">
        <f t="shared" si="1"/>
        <v>1.0050251256281407E-2</v>
      </c>
    </row>
    <row r="17" spans="1:6" x14ac:dyDescent="0.3">
      <c r="A17" s="3">
        <v>46030</v>
      </c>
      <c r="B17" s="3" t="str">
        <f t="shared" si="0"/>
        <v>08-01-2026 - Night</v>
      </c>
      <c r="C17" s="2" t="s">
        <v>6</v>
      </c>
      <c r="D17" s="2">
        <v>1010</v>
      </c>
      <c r="E17" s="2">
        <v>21</v>
      </c>
      <c r="F17" s="5">
        <f t="shared" si="1"/>
        <v>2.0792079207920793E-2</v>
      </c>
    </row>
    <row r="18" spans="1:6" x14ac:dyDescent="0.3">
      <c r="A18" s="3">
        <v>46031</v>
      </c>
      <c r="B18" s="3" t="str">
        <f t="shared" si="0"/>
        <v>09-01-2026 - Day</v>
      </c>
      <c r="C18" s="2" t="s">
        <v>5</v>
      </c>
      <c r="D18" s="2">
        <v>1005</v>
      </c>
      <c r="E18" s="2">
        <v>11</v>
      </c>
      <c r="F18" s="5">
        <f t="shared" si="1"/>
        <v>1.0945273631840797E-2</v>
      </c>
    </row>
    <row r="19" spans="1:6" x14ac:dyDescent="0.3">
      <c r="A19" s="3">
        <v>46031</v>
      </c>
      <c r="B19" s="3" t="str">
        <f t="shared" si="0"/>
        <v>09-01-2026 - Night</v>
      </c>
      <c r="C19" s="2" t="s">
        <v>6</v>
      </c>
      <c r="D19" s="2">
        <v>990</v>
      </c>
      <c r="E19" s="2">
        <v>15</v>
      </c>
      <c r="F19" s="5">
        <f t="shared" si="1"/>
        <v>1.5151515151515152E-2</v>
      </c>
    </row>
    <row r="20" spans="1:6" x14ac:dyDescent="0.3">
      <c r="A20" s="3">
        <v>46032</v>
      </c>
      <c r="B20" s="3" t="str">
        <f t="shared" si="0"/>
        <v>10-01-2026 - Day</v>
      </c>
      <c r="C20" s="2" t="s">
        <v>5</v>
      </c>
      <c r="D20" s="2">
        <v>1010</v>
      </c>
      <c r="E20" s="2">
        <v>13</v>
      </c>
      <c r="F20" s="5">
        <f t="shared" si="1"/>
        <v>1.2871287128712871E-2</v>
      </c>
    </row>
    <row r="21" spans="1:6" x14ac:dyDescent="0.3">
      <c r="A21" s="3">
        <v>46032</v>
      </c>
      <c r="B21" s="3" t="str">
        <f t="shared" si="0"/>
        <v>10-01-2026 - Night</v>
      </c>
      <c r="C21" s="2" t="s">
        <v>6</v>
      </c>
      <c r="D21" s="2">
        <v>1000</v>
      </c>
      <c r="E21" s="2">
        <v>18</v>
      </c>
      <c r="F21" s="5">
        <f t="shared" si="1"/>
        <v>1.7999999999999999E-2</v>
      </c>
    </row>
    <row r="22" spans="1:6" x14ac:dyDescent="0.3">
      <c r="A22" s="3">
        <v>46033</v>
      </c>
      <c r="B22" s="3" t="str">
        <f t="shared" si="0"/>
        <v>11-01-2026 - Day</v>
      </c>
      <c r="C22" s="2" t="s">
        <v>5</v>
      </c>
      <c r="D22" s="2">
        <v>1000</v>
      </c>
      <c r="E22" s="2">
        <v>12</v>
      </c>
      <c r="F22" s="5">
        <f t="shared" si="1"/>
        <v>1.2E-2</v>
      </c>
    </row>
    <row r="23" spans="1:6" x14ac:dyDescent="0.3">
      <c r="A23" s="3">
        <v>46033</v>
      </c>
      <c r="B23" s="3" t="str">
        <f t="shared" si="0"/>
        <v>11-01-2026 - Night</v>
      </c>
      <c r="C23" s="2" t="s">
        <v>6</v>
      </c>
      <c r="D23" s="2">
        <v>995</v>
      </c>
      <c r="E23" s="2">
        <v>16</v>
      </c>
      <c r="F23" s="5">
        <f t="shared" si="1"/>
        <v>1.6080402010050253E-2</v>
      </c>
    </row>
    <row r="24" spans="1:6" x14ac:dyDescent="0.3">
      <c r="A24" s="3">
        <v>46034</v>
      </c>
      <c r="B24" s="3" t="str">
        <f t="shared" si="0"/>
        <v>12-01-2026 - Day</v>
      </c>
      <c r="C24" s="2" t="s">
        <v>5</v>
      </c>
      <c r="D24" s="2">
        <v>985</v>
      </c>
      <c r="E24" s="2">
        <v>10</v>
      </c>
      <c r="F24" s="5">
        <f t="shared" si="1"/>
        <v>1.015228426395939E-2</v>
      </c>
    </row>
    <row r="25" spans="1:6" x14ac:dyDescent="0.3">
      <c r="A25" s="3">
        <v>46034</v>
      </c>
      <c r="B25" s="3" t="str">
        <f t="shared" si="0"/>
        <v>12-01-2026 - Night</v>
      </c>
      <c r="C25" s="2" t="s">
        <v>6</v>
      </c>
      <c r="D25" s="2">
        <v>1010</v>
      </c>
      <c r="E25" s="2">
        <v>20</v>
      </c>
      <c r="F25" s="5">
        <f t="shared" si="1"/>
        <v>1.9801980198019802E-2</v>
      </c>
    </row>
    <row r="26" spans="1:6" x14ac:dyDescent="0.3">
      <c r="A26" s="3">
        <v>46035</v>
      </c>
      <c r="B26" s="3" t="str">
        <f t="shared" si="0"/>
        <v>13-01-2026 - Day</v>
      </c>
      <c r="C26" s="2" t="s">
        <v>5</v>
      </c>
      <c r="D26" s="2">
        <v>1020</v>
      </c>
      <c r="E26" s="2">
        <v>14</v>
      </c>
      <c r="F26" s="5">
        <f t="shared" si="1"/>
        <v>1.3725490196078431E-2</v>
      </c>
    </row>
    <row r="27" spans="1:6" x14ac:dyDescent="0.3">
      <c r="A27" s="3">
        <v>46035</v>
      </c>
      <c r="B27" s="3" t="str">
        <f t="shared" si="0"/>
        <v>13-01-2026 - Night</v>
      </c>
      <c r="C27" s="2" t="s">
        <v>6</v>
      </c>
      <c r="D27" s="2">
        <v>1000</v>
      </c>
      <c r="E27" s="2">
        <v>15</v>
      </c>
      <c r="F27" s="5">
        <f t="shared" si="1"/>
        <v>1.4999999999999999E-2</v>
      </c>
    </row>
    <row r="28" spans="1:6" x14ac:dyDescent="0.3">
      <c r="A28" s="3">
        <v>46036</v>
      </c>
      <c r="B28" s="3" t="str">
        <f t="shared" si="0"/>
        <v>14-01-2026 - Day</v>
      </c>
      <c r="C28" s="2" t="s">
        <v>5</v>
      </c>
      <c r="D28" s="2">
        <v>995</v>
      </c>
      <c r="E28" s="2">
        <v>11</v>
      </c>
      <c r="F28" s="5">
        <f t="shared" si="1"/>
        <v>1.1055276381909548E-2</v>
      </c>
    </row>
    <row r="29" spans="1:6" x14ac:dyDescent="0.3">
      <c r="A29" s="3">
        <v>46036</v>
      </c>
      <c r="B29" s="3" t="str">
        <f t="shared" si="0"/>
        <v>14-01-2026 - Night</v>
      </c>
      <c r="C29" s="2" t="s">
        <v>6</v>
      </c>
      <c r="D29" s="2">
        <v>1005</v>
      </c>
      <c r="E29" s="2">
        <v>19</v>
      </c>
      <c r="F29" s="5">
        <f t="shared" si="1"/>
        <v>1.8905472636815919E-2</v>
      </c>
    </row>
    <row r="30" spans="1:6" x14ac:dyDescent="0.3">
      <c r="A30" s="3">
        <v>46037</v>
      </c>
      <c r="B30" s="3" t="str">
        <f t="shared" si="0"/>
        <v>15-01-2026 - Day</v>
      </c>
      <c r="C30" s="2" t="s">
        <v>5</v>
      </c>
      <c r="D30" s="2">
        <v>1005</v>
      </c>
      <c r="E30" s="2">
        <v>12</v>
      </c>
      <c r="F30" s="5">
        <f t="shared" si="1"/>
        <v>1.1940298507462687E-2</v>
      </c>
    </row>
    <row r="31" spans="1:6" x14ac:dyDescent="0.3">
      <c r="A31" s="3">
        <v>46037</v>
      </c>
      <c r="B31" s="3" t="str">
        <f t="shared" si="0"/>
        <v>15-01-2026 - Night</v>
      </c>
      <c r="C31" s="2" t="s">
        <v>6</v>
      </c>
      <c r="D31" s="2">
        <v>990</v>
      </c>
      <c r="E31" s="2">
        <v>17</v>
      </c>
      <c r="F31" s="5">
        <f t="shared" si="1"/>
        <v>1.7171717171717171E-2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32" sqref="D32"/>
    </sheetView>
  </sheetViews>
  <sheetFormatPr defaultRowHeight="14.4" x14ac:dyDescent="0.3"/>
  <cols>
    <col min="1" max="1" width="24.6640625" customWidth="1"/>
    <col min="2" max="2" width="10.88671875" customWidth="1"/>
  </cols>
  <sheetData>
    <row r="1" spans="1:2" x14ac:dyDescent="0.3">
      <c r="A1" t="s">
        <v>7</v>
      </c>
      <c r="B1" s="1">
        <f>AVERAGE(Raw_Data!F2:F31)</f>
        <v>1.4511707300494312E-2</v>
      </c>
    </row>
    <row r="2" spans="1:2" x14ac:dyDescent="0.3">
      <c r="A2" t="s">
        <v>8</v>
      </c>
      <c r="B2" s="1">
        <f>_xlfn.STDEV.S(Raw_Data!F2:F31)</f>
        <v>3.5217687677986443E-3</v>
      </c>
    </row>
    <row r="3" spans="1:2" x14ac:dyDescent="0.3">
      <c r="A3" t="s">
        <v>9</v>
      </c>
      <c r="B3">
        <f>COUNT(Raw_Data!F2:F31)</f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G18" sqref="G18"/>
    </sheetView>
  </sheetViews>
  <sheetFormatPr defaultRowHeight="14.4" x14ac:dyDescent="0.3"/>
  <cols>
    <col min="2" max="2" width="10.77734375" customWidth="1"/>
    <col min="3" max="4" width="12" customWidth="1"/>
  </cols>
  <sheetData>
    <row r="1" spans="1:4" x14ac:dyDescent="0.3">
      <c r="A1" s="4" t="s">
        <v>1</v>
      </c>
      <c r="B1" s="4" t="s">
        <v>10</v>
      </c>
      <c r="C1" s="4" t="s">
        <v>11</v>
      </c>
      <c r="D1" s="4" t="s">
        <v>12</v>
      </c>
    </row>
    <row r="2" spans="1:4" x14ac:dyDescent="0.3">
      <c r="A2" s="4" t="s">
        <v>5</v>
      </c>
      <c r="B2" s="5">
        <f>AVERAGEIFS(Raw_Data!F:F, Raw_Data!C:C, "Day")</f>
        <v>1.1559300544985813E-2</v>
      </c>
      <c r="C2" s="5">
        <f>_xlfn.STDEV.S(IF(Raw_Data!C:C="Day", Raw_Data!F:F))</f>
        <v>3.5217687677986443E-3</v>
      </c>
      <c r="D2" s="4">
        <f>COUNTIF(Raw_Data!C:C,"Day")</f>
        <v>15</v>
      </c>
    </row>
    <row r="3" spans="1:4" x14ac:dyDescent="0.3">
      <c r="A3" s="4" t="s">
        <v>6</v>
      </c>
      <c r="B3" s="5">
        <f>AVERAGEIFS(Raw_Data!F:F, Raw_Data!C:C, "Night")</f>
        <v>1.7464114056002802E-2</v>
      </c>
      <c r="C3" s="5">
        <f>_xlfn.STDEV.S(IF(Raw_Data!C:C="Night", Raw_Data!F:F))</f>
        <v>3.5217687677986443E-3</v>
      </c>
      <c r="D3" s="4">
        <f>COUNTIF(Raw_Data!C:C,"Night")</f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zoomScale="70" zoomScaleNormal="70" workbookViewId="0">
      <selection activeCell="K13" sqref="K13"/>
    </sheetView>
  </sheetViews>
  <sheetFormatPr defaultRowHeight="14.4" x14ac:dyDescent="0.3"/>
  <cols>
    <col min="4" max="4" width="13" customWidth="1"/>
    <col min="5" max="5" width="22.44140625" style="4" customWidth="1"/>
    <col min="6" max="6" width="15.88671875" customWidth="1"/>
    <col min="7" max="7" width="10.109375" customWidth="1"/>
    <col min="13" max="13" width="8.88671875" customWidth="1"/>
  </cols>
  <sheetData>
    <row r="1" spans="1:9" x14ac:dyDescent="0.3">
      <c r="D1" s="7" t="s">
        <v>0</v>
      </c>
      <c r="E1" s="7" t="s">
        <v>18</v>
      </c>
      <c r="F1" s="7" t="s">
        <v>3</v>
      </c>
      <c r="G1" s="7" t="s">
        <v>17</v>
      </c>
      <c r="H1" s="7" t="s">
        <v>15</v>
      </c>
      <c r="I1" s="7" t="s">
        <v>16</v>
      </c>
    </row>
    <row r="2" spans="1:9" x14ac:dyDescent="0.3">
      <c r="A2" t="s">
        <v>13</v>
      </c>
      <c r="B2">
        <f>AVERAGE(Raw_Data!E2:E31)</f>
        <v>14.533333333333333</v>
      </c>
      <c r="D2" s="8">
        <f>Raw_Data!A2</f>
        <v>46023</v>
      </c>
      <c r="E2" s="8" t="str">
        <f>Raw_Data!B2</f>
        <v>01-01-2026 - Day</v>
      </c>
      <c r="F2" s="7">
        <f>Raw_Data!E2</f>
        <v>12</v>
      </c>
      <c r="G2" s="7">
        <f>$B$2</f>
        <v>14.533333333333333</v>
      </c>
      <c r="H2" s="7">
        <f>$B$4</f>
        <v>25.241370920375935</v>
      </c>
      <c r="I2" s="7">
        <f>$B$5</f>
        <v>3.8252957462907329</v>
      </c>
    </row>
    <row r="3" spans="1:9" x14ac:dyDescent="0.3">
      <c r="A3" t="s">
        <v>14</v>
      </c>
      <c r="B3">
        <f>_xlfn.STDEV.S(Raw_Data!E2:E31)</f>
        <v>3.5693458623475331</v>
      </c>
      <c r="D3" s="8">
        <f>Raw_Data!A3</f>
        <v>46023</v>
      </c>
      <c r="E3" s="8" t="str">
        <f>Raw_Data!B3</f>
        <v>01-01-2026 - Night</v>
      </c>
      <c r="F3" s="7">
        <f>Raw_Data!E3</f>
        <v>15</v>
      </c>
      <c r="G3" s="7">
        <f t="shared" ref="G3:G31" si="0">$B$2</f>
        <v>14.533333333333333</v>
      </c>
      <c r="H3" s="7">
        <f t="shared" ref="H3:H31" si="1">$B$4</f>
        <v>25.241370920375935</v>
      </c>
      <c r="I3" s="7">
        <f t="shared" ref="I3:I31" si="2">$B$5</f>
        <v>3.8252957462907329</v>
      </c>
    </row>
    <row r="4" spans="1:9" x14ac:dyDescent="0.3">
      <c r="A4" s="6" t="s">
        <v>15</v>
      </c>
      <c r="B4">
        <f>B2+(3*B3)</f>
        <v>25.241370920375935</v>
      </c>
      <c r="D4" s="8">
        <f>Raw_Data!A4</f>
        <v>46024</v>
      </c>
      <c r="E4" s="8" t="str">
        <f>Raw_Data!B4</f>
        <v>02-01-2026 - Day</v>
      </c>
      <c r="F4" s="7">
        <f>Raw_Data!E4</f>
        <v>10</v>
      </c>
      <c r="G4" s="7">
        <f t="shared" si="0"/>
        <v>14.533333333333333</v>
      </c>
      <c r="H4" s="7">
        <f t="shared" si="1"/>
        <v>25.241370920375935</v>
      </c>
      <c r="I4" s="7">
        <f t="shared" si="2"/>
        <v>3.8252957462907329</v>
      </c>
    </row>
    <row r="5" spans="1:9" x14ac:dyDescent="0.3">
      <c r="A5" s="6" t="s">
        <v>16</v>
      </c>
      <c r="B5">
        <f>B2-(3*B3)</f>
        <v>3.8252957462907329</v>
      </c>
      <c r="D5" s="8">
        <f>Raw_Data!A5</f>
        <v>46024</v>
      </c>
      <c r="E5" s="8" t="str">
        <f>Raw_Data!B5</f>
        <v>02-01-2026 - Night</v>
      </c>
      <c r="F5" s="7">
        <f>Raw_Data!E5</f>
        <v>18</v>
      </c>
      <c r="G5" s="7">
        <f t="shared" si="0"/>
        <v>14.533333333333333</v>
      </c>
      <c r="H5" s="7">
        <f t="shared" si="1"/>
        <v>25.241370920375935</v>
      </c>
      <c r="I5" s="7">
        <f t="shared" si="2"/>
        <v>3.8252957462907329</v>
      </c>
    </row>
    <row r="6" spans="1:9" x14ac:dyDescent="0.3">
      <c r="D6" s="8">
        <f>Raw_Data!A6</f>
        <v>46025</v>
      </c>
      <c r="E6" s="8" t="str">
        <f>Raw_Data!B6</f>
        <v>03-01-2026 - Day</v>
      </c>
      <c r="F6" s="7">
        <f>Raw_Data!E6</f>
        <v>11</v>
      </c>
      <c r="G6" s="7">
        <f t="shared" si="0"/>
        <v>14.533333333333333</v>
      </c>
      <c r="H6" s="7">
        <f t="shared" si="1"/>
        <v>25.241370920375935</v>
      </c>
      <c r="I6" s="7">
        <f t="shared" si="2"/>
        <v>3.8252957462907329</v>
      </c>
    </row>
    <row r="7" spans="1:9" x14ac:dyDescent="0.3">
      <c r="D7" s="8">
        <f>Raw_Data!A7</f>
        <v>46025</v>
      </c>
      <c r="E7" s="8" t="str">
        <f>Raw_Data!B7</f>
        <v>03-01-2026 - Night</v>
      </c>
      <c r="F7" s="7">
        <f>Raw_Data!E7</f>
        <v>14</v>
      </c>
      <c r="G7" s="7">
        <f t="shared" si="0"/>
        <v>14.533333333333333</v>
      </c>
      <c r="H7" s="7">
        <f t="shared" si="1"/>
        <v>25.241370920375935</v>
      </c>
      <c r="I7" s="7">
        <f t="shared" si="2"/>
        <v>3.8252957462907329</v>
      </c>
    </row>
    <row r="8" spans="1:9" x14ac:dyDescent="0.3">
      <c r="D8" s="8">
        <f>Raw_Data!A8</f>
        <v>46026</v>
      </c>
      <c r="E8" s="8" t="str">
        <f>Raw_Data!B8</f>
        <v>04-01-2026 - Day</v>
      </c>
      <c r="F8" s="7">
        <f>Raw_Data!E8</f>
        <v>9</v>
      </c>
      <c r="G8" s="7">
        <f t="shared" si="0"/>
        <v>14.533333333333333</v>
      </c>
      <c r="H8" s="7">
        <f t="shared" si="1"/>
        <v>25.241370920375935</v>
      </c>
      <c r="I8" s="7">
        <f t="shared" si="2"/>
        <v>3.8252957462907329</v>
      </c>
    </row>
    <row r="9" spans="1:9" x14ac:dyDescent="0.3">
      <c r="D9" s="8">
        <f>Raw_Data!A9</f>
        <v>46026</v>
      </c>
      <c r="E9" s="8" t="str">
        <f>Raw_Data!B9</f>
        <v>04-01-2026 - Night</v>
      </c>
      <c r="F9" s="7">
        <f>Raw_Data!E9</f>
        <v>22</v>
      </c>
      <c r="G9" s="7">
        <f t="shared" si="0"/>
        <v>14.533333333333333</v>
      </c>
      <c r="H9" s="7">
        <f t="shared" si="1"/>
        <v>25.241370920375935</v>
      </c>
      <c r="I9" s="7">
        <f t="shared" si="2"/>
        <v>3.8252957462907329</v>
      </c>
    </row>
    <row r="10" spans="1:9" x14ac:dyDescent="0.3">
      <c r="D10" s="8">
        <f>Raw_Data!A10</f>
        <v>46027</v>
      </c>
      <c r="E10" s="8" t="str">
        <f>Raw_Data!B10</f>
        <v>05-01-2026 - Day</v>
      </c>
      <c r="F10" s="7">
        <f>Raw_Data!E10</f>
        <v>13</v>
      </c>
      <c r="G10" s="7">
        <f t="shared" si="0"/>
        <v>14.533333333333333</v>
      </c>
      <c r="H10" s="7">
        <f t="shared" si="1"/>
        <v>25.241370920375935</v>
      </c>
      <c r="I10" s="7">
        <f t="shared" si="2"/>
        <v>3.8252957462907329</v>
      </c>
    </row>
    <row r="11" spans="1:9" x14ac:dyDescent="0.3">
      <c r="D11" s="8">
        <f>Raw_Data!A11</f>
        <v>46027</v>
      </c>
      <c r="E11" s="8" t="str">
        <f>Raw_Data!B11</f>
        <v>05-01-2026 - Night</v>
      </c>
      <c r="F11" s="7">
        <f>Raw_Data!E11</f>
        <v>17</v>
      </c>
      <c r="G11" s="7">
        <f t="shared" si="0"/>
        <v>14.533333333333333</v>
      </c>
      <c r="H11" s="7">
        <f t="shared" si="1"/>
        <v>25.241370920375935</v>
      </c>
      <c r="I11" s="7">
        <f t="shared" si="2"/>
        <v>3.8252957462907329</v>
      </c>
    </row>
    <row r="12" spans="1:9" x14ac:dyDescent="0.3">
      <c r="D12" s="8">
        <f>Raw_Data!A12</f>
        <v>46028</v>
      </c>
      <c r="E12" s="8" t="str">
        <f>Raw_Data!B12</f>
        <v>06-01-2026 - Day</v>
      </c>
      <c r="F12" s="7">
        <f>Raw_Data!E12</f>
        <v>12</v>
      </c>
      <c r="G12" s="7">
        <f t="shared" si="0"/>
        <v>14.533333333333333</v>
      </c>
      <c r="H12" s="7">
        <f t="shared" si="1"/>
        <v>25.241370920375935</v>
      </c>
      <c r="I12" s="7">
        <f t="shared" si="2"/>
        <v>3.8252957462907329</v>
      </c>
    </row>
    <row r="13" spans="1:9" x14ac:dyDescent="0.3">
      <c r="D13" s="8">
        <f>Raw_Data!A13</f>
        <v>46028</v>
      </c>
      <c r="E13" s="8" t="str">
        <f>Raw_Data!B13</f>
        <v>06-01-2026 - Night</v>
      </c>
      <c r="F13" s="7">
        <f>Raw_Data!E13</f>
        <v>16</v>
      </c>
      <c r="G13" s="7">
        <f t="shared" si="0"/>
        <v>14.533333333333333</v>
      </c>
      <c r="H13" s="7">
        <f t="shared" si="1"/>
        <v>25.241370920375935</v>
      </c>
      <c r="I13" s="7">
        <f t="shared" si="2"/>
        <v>3.8252957462907329</v>
      </c>
    </row>
    <row r="14" spans="1:9" x14ac:dyDescent="0.3">
      <c r="D14" s="8">
        <f>Raw_Data!A14</f>
        <v>46029</v>
      </c>
      <c r="E14" s="8" t="str">
        <f>Raw_Data!B14</f>
        <v>07-01-2026 - Day</v>
      </c>
      <c r="F14" s="7">
        <f>Raw_Data!E14</f>
        <v>14</v>
      </c>
      <c r="G14" s="7">
        <f t="shared" si="0"/>
        <v>14.533333333333333</v>
      </c>
      <c r="H14" s="7">
        <f t="shared" si="1"/>
        <v>25.241370920375935</v>
      </c>
      <c r="I14" s="7">
        <f t="shared" si="2"/>
        <v>3.8252957462907329</v>
      </c>
    </row>
    <row r="15" spans="1:9" x14ac:dyDescent="0.3">
      <c r="D15" s="8">
        <f>Raw_Data!A15</f>
        <v>46029</v>
      </c>
      <c r="E15" s="8" t="str">
        <f>Raw_Data!B15</f>
        <v>07-01-2026 - Night</v>
      </c>
      <c r="F15" s="7">
        <f>Raw_Data!E15</f>
        <v>19</v>
      </c>
      <c r="G15" s="7">
        <f t="shared" si="0"/>
        <v>14.533333333333333</v>
      </c>
      <c r="H15" s="7">
        <f t="shared" si="1"/>
        <v>25.241370920375935</v>
      </c>
      <c r="I15" s="7">
        <f t="shared" si="2"/>
        <v>3.8252957462907329</v>
      </c>
    </row>
    <row r="16" spans="1:9" x14ac:dyDescent="0.3">
      <c r="D16" s="8">
        <f>Raw_Data!A16</f>
        <v>46030</v>
      </c>
      <c r="E16" s="8" t="str">
        <f>Raw_Data!B16</f>
        <v>08-01-2026 - Day</v>
      </c>
      <c r="F16" s="7">
        <f>Raw_Data!E16</f>
        <v>10</v>
      </c>
      <c r="G16" s="7">
        <f t="shared" si="0"/>
        <v>14.533333333333333</v>
      </c>
      <c r="H16" s="7">
        <f t="shared" si="1"/>
        <v>25.241370920375935</v>
      </c>
      <c r="I16" s="7">
        <f t="shared" si="2"/>
        <v>3.8252957462907329</v>
      </c>
    </row>
    <row r="17" spans="4:9" x14ac:dyDescent="0.3">
      <c r="D17" s="8">
        <f>Raw_Data!A17</f>
        <v>46030</v>
      </c>
      <c r="E17" s="8" t="str">
        <f>Raw_Data!B17</f>
        <v>08-01-2026 - Night</v>
      </c>
      <c r="F17" s="7">
        <f>Raw_Data!E17</f>
        <v>21</v>
      </c>
      <c r="G17" s="7">
        <f t="shared" si="0"/>
        <v>14.533333333333333</v>
      </c>
      <c r="H17" s="7">
        <f t="shared" si="1"/>
        <v>25.241370920375935</v>
      </c>
      <c r="I17" s="7">
        <f t="shared" si="2"/>
        <v>3.8252957462907329</v>
      </c>
    </row>
    <row r="18" spans="4:9" x14ac:dyDescent="0.3">
      <c r="D18" s="8">
        <f>Raw_Data!A18</f>
        <v>46031</v>
      </c>
      <c r="E18" s="8" t="str">
        <f>Raw_Data!B18</f>
        <v>09-01-2026 - Day</v>
      </c>
      <c r="F18" s="7">
        <f>Raw_Data!E18</f>
        <v>11</v>
      </c>
      <c r="G18" s="7">
        <f t="shared" si="0"/>
        <v>14.533333333333333</v>
      </c>
      <c r="H18" s="7">
        <f t="shared" si="1"/>
        <v>25.241370920375935</v>
      </c>
      <c r="I18" s="7">
        <f t="shared" si="2"/>
        <v>3.8252957462907329</v>
      </c>
    </row>
    <row r="19" spans="4:9" x14ac:dyDescent="0.3">
      <c r="D19" s="8">
        <f>Raw_Data!A19</f>
        <v>46031</v>
      </c>
      <c r="E19" s="8" t="str">
        <f>Raw_Data!B19</f>
        <v>09-01-2026 - Night</v>
      </c>
      <c r="F19" s="7">
        <f>Raw_Data!E19</f>
        <v>15</v>
      </c>
      <c r="G19" s="7">
        <f t="shared" si="0"/>
        <v>14.533333333333333</v>
      </c>
      <c r="H19" s="7">
        <f t="shared" si="1"/>
        <v>25.241370920375935</v>
      </c>
      <c r="I19" s="7">
        <f t="shared" si="2"/>
        <v>3.8252957462907329</v>
      </c>
    </row>
    <row r="20" spans="4:9" x14ac:dyDescent="0.3">
      <c r="D20" s="8">
        <f>Raw_Data!A20</f>
        <v>46032</v>
      </c>
      <c r="E20" s="8" t="str">
        <f>Raw_Data!B20</f>
        <v>10-01-2026 - Day</v>
      </c>
      <c r="F20" s="7">
        <f>Raw_Data!E20</f>
        <v>13</v>
      </c>
      <c r="G20" s="7">
        <f t="shared" si="0"/>
        <v>14.533333333333333</v>
      </c>
      <c r="H20" s="7">
        <f t="shared" si="1"/>
        <v>25.241370920375935</v>
      </c>
      <c r="I20" s="7">
        <f t="shared" si="2"/>
        <v>3.8252957462907329</v>
      </c>
    </row>
    <row r="21" spans="4:9" x14ac:dyDescent="0.3">
      <c r="D21" s="8">
        <f>Raw_Data!A21</f>
        <v>46032</v>
      </c>
      <c r="E21" s="8" t="str">
        <f>Raw_Data!B21</f>
        <v>10-01-2026 - Night</v>
      </c>
      <c r="F21" s="7">
        <f>Raw_Data!E21</f>
        <v>18</v>
      </c>
      <c r="G21" s="7">
        <f t="shared" si="0"/>
        <v>14.533333333333333</v>
      </c>
      <c r="H21" s="7">
        <f t="shared" si="1"/>
        <v>25.241370920375935</v>
      </c>
      <c r="I21" s="7">
        <f t="shared" si="2"/>
        <v>3.8252957462907329</v>
      </c>
    </row>
    <row r="22" spans="4:9" x14ac:dyDescent="0.3">
      <c r="D22" s="8">
        <f>Raw_Data!A22</f>
        <v>46033</v>
      </c>
      <c r="E22" s="8" t="str">
        <f>Raw_Data!B22</f>
        <v>11-01-2026 - Day</v>
      </c>
      <c r="F22" s="7">
        <f>Raw_Data!E22</f>
        <v>12</v>
      </c>
      <c r="G22" s="7">
        <f t="shared" si="0"/>
        <v>14.533333333333333</v>
      </c>
      <c r="H22" s="7">
        <f t="shared" si="1"/>
        <v>25.241370920375935</v>
      </c>
      <c r="I22" s="7">
        <f t="shared" si="2"/>
        <v>3.8252957462907329</v>
      </c>
    </row>
    <row r="23" spans="4:9" x14ac:dyDescent="0.3">
      <c r="D23" s="8">
        <f>Raw_Data!A23</f>
        <v>46033</v>
      </c>
      <c r="E23" s="8" t="str">
        <f>Raw_Data!B23</f>
        <v>11-01-2026 - Night</v>
      </c>
      <c r="F23" s="7">
        <f>Raw_Data!E23</f>
        <v>16</v>
      </c>
      <c r="G23" s="7">
        <f t="shared" si="0"/>
        <v>14.533333333333333</v>
      </c>
      <c r="H23" s="7">
        <f t="shared" si="1"/>
        <v>25.241370920375935</v>
      </c>
      <c r="I23" s="7">
        <f t="shared" si="2"/>
        <v>3.8252957462907329</v>
      </c>
    </row>
    <row r="24" spans="4:9" x14ac:dyDescent="0.3">
      <c r="D24" s="8">
        <f>Raw_Data!A24</f>
        <v>46034</v>
      </c>
      <c r="E24" s="8" t="str">
        <f>Raw_Data!B24</f>
        <v>12-01-2026 - Day</v>
      </c>
      <c r="F24" s="7">
        <f>Raw_Data!E24</f>
        <v>10</v>
      </c>
      <c r="G24" s="7">
        <f t="shared" si="0"/>
        <v>14.533333333333333</v>
      </c>
      <c r="H24" s="7">
        <f t="shared" si="1"/>
        <v>25.241370920375935</v>
      </c>
      <c r="I24" s="7">
        <f t="shared" si="2"/>
        <v>3.8252957462907329</v>
      </c>
    </row>
    <row r="25" spans="4:9" x14ac:dyDescent="0.3">
      <c r="D25" s="8">
        <f>Raw_Data!A25</f>
        <v>46034</v>
      </c>
      <c r="E25" s="8" t="str">
        <f>Raw_Data!B25</f>
        <v>12-01-2026 - Night</v>
      </c>
      <c r="F25" s="7">
        <f>Raw_Data!E25</f>
        <v>20</v>
      </c>
      <c r="G25" s="7">
        <f t="shared" si="0"/>
        <v>14.533333333333333</v>
      </c>
      <c r="H25" s="7">
        <f t="shared" si="1"/>
        <v>25.241370920375935</v>
      </c>
      <c r="I25" s="7">
        <f t="shared" si="2"/>
        <v>3.8252957462907329</v>
      </c>
    </row>
    <row r="26" spans="4:9" x14ac:dyDescent="0.3">
      <c r="D26" s="8">
        <f>Raw_Data!A26</f>
        <v>46035</v>
      </c>
      <c r="E26" s="8" t="str">
        <f>Raw_Data!B26</f>
        <v>13-01-2026 - Day</v>
      </c>
      <c r="F26" s="7">
        <f>Raw_Data!E26</f>
        <v>14</v>
      </c>
      <c r="G26" s="7">
        <f t="shared" si="0"/>
        <v>14.533333333333333</v>
      </c>
      <c r="H26" s="7">
        <f t="shared" si="1"/>
        <v>25.241370920375935</v>
      </c>
      <c r="I26" s="7">
        <f t="shared" si="2"/>
        <v>3.8252957462907329</v>
      </c>
    </row>
    <row r="27" spans="4:9" x14ac:dyDescent="0.3">
      <c r="D27" s="8">
        <f>Raw_Data!A27</f>
        <v>46035</v>
      </c>
      <c r="E27" s="8" t="str">
        <f>Raw_Data!B27</f>
        <v>13-01-2026 - Night</v>
      </c>
      <c r="F27" s="7">
        <f>Raw_Data!E27</f>
        <v>15</v>
      </c>
      <c r="G27" s="7">
        <f t="shared" si="0"/>
        <v>14.533333333333333</v>
      </c>
      <c r="H27" s="7">
        <f t="shared" si="1"/>
        <v>25.241370920375935</v>
      </c>
      <c r="I27" s="7">
        <f t="shared" si="2"/>
        <v>3.8252957462907329</v>
      </c>
    </row>
    <row r="28" spans="4:9" x14ac:dyDescent="0.3">
      <c r="D28" s="8">
        <f>Raw_Data!A28</f>
        <v>46036</v>
      </c>
      <c r="E28" s="8" t="str">
        <f>Raw_Data!B28</f>
        <v>14-01-2026 - Day</v>
      </c>
      <c r="F28" s="7">
        <f>Raw_Data!E28</f>
        <v>11</v>
      </c>
      <c r="G28" s="7">
        <f t="shared" si="0"/>
        <v>14.533333333333333</v>
      </c>
      <c r="H28" s="7">
        <f t="shared" si="1"/>
        <v>25.241370920375935</v>
      </c>
      <c r="I28" s="7">
        <f t="shared" si="2"/>
        <v>3.8252957462907329</v>
      </c>
    </row>
    <row r="29" spans="4:9" x14ac:dyDescent="0.3">
      <c r="D29" s="8">
        <f>Raw_Data!A29</f>
        <v>46036</v>
      </c>
      <c r="E29" s="8" t="str">
        <f>Raw_Data!B29</f>
        <v>14-01-2026 - Night</v>
      </c>
      <c r="F29" s="7">
        <f>Raw_Data!E29</f>
        <v>19</v>
      </c>
      <c r="G29" s="7">
        <f t="shared" si="0"/>
        <v>14.533333333333333</v>
      </c>
      <c r="H29" s="7">
        <f t="shared" si="1"/>
        <v>25.241370920375935</v>
      </c>
      <c r="I29" s="7">
        <f t="shared" si="2"/>
        <v>3.8252957462907329</v>
      </c>
    </row>
    <row r="30" spans="4:9" x14ac:dyDescent="0.3">
      <c r="D30" s="8">
        <f>Raw_Data!A30</f>
        <v>46037</v>
      </c>
      <c r="E30" s="8" t="str">
        <f>Raw_Data!B30</f>
        <v>15-01-2026 - Day</v>
      </c>
      <c r="F30" s="7">
        <f>Raw_Data!E30</f>
        <v>12</v>
      </c>
      <c r="G30" s="7">
        <f t="shared" si="0"/>
        <v>14.533333333333333</v>
      </c>
      <c r="H30" s="7">
        <f t="shared" si="1"/>
        <v>25.241370920375935</v>
      </c>
      <c r="I30" s="7">
        <f t="shared" si="2"/>
        <v>3.8252957462907329</v>
      </c>
    </row>
    <row r="31" spans="4:9" x14ac:dyDescent="0.3">
      <c r="D31" s="8">
        <f>Raw_Data!A31</f>
        <v>46037</v>
      </c>
      <c r="E31" s="8" t="str">
        <f>Raw_Data!B31</f>
        <v>15-01-2026 - Night</v>
      </c>
      <c r="F31" s="7">
        <f>Raw_Data!E31</f>
        <v>17</v>
      </c>
      <c r="G31" s="7">
        <f t="shared" si="0"/>
        <v>14.533333333333333</v>
      </c>
      <c r="H31" s="7">
        <f t="shared" si="1"/>
        <v>25.241370920375935</v>
      </c>
      <c r="I31" s="7">
        <f t="shared" si="2"/>
        <v>3.8252957462907329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Summary</vt:lpstr>
      <vt:lpstr>SHIFT-WISE SUMMAR</vt:lpstr>
      <vt:lpstr>Control_Chart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Ashwitha Gowda</dc:creator>
  <cp:lastModifiedBy>Ashwitha Gowda</cp:lastModifiedBy>
  <dcterms:created xsi:type="dcterms:W3CDTF">2026-01-25T08:01:37Z</dcterms:created>
  <dcterms:modified xsi:type="dcterms:W3CDTF">2026-01-25T18:02:18Z</dcterms:modified>
</cp:coreProperties>
</file>